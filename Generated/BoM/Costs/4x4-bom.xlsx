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'Costs'!$I$2</definedName>
    <definedName name="_xlnm.Print_Titles" localSheetId="0">BoM!$9:$9</definedName>
    <definedName name="TotalCost" localSheetId="1">'Costs'!$I$4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H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Description of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F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G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</commentList>
</comments>
</file>

<file path=xl/sharedStrings.xml><?xml version="1.0" encoding="utf-8"?>
<sst xmlns="http://schemas.openxmlformats.org/spreadsheetml/2006/main" count="127" uniqueCount="77">
  <si>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</si>
  <si>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</si>
  <si>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</si>
  <si>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</si>
  <si>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</si>
  <si>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</si>
  <si>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</si>
  <si>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</si>
  <si>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</si>
  <si>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PARTREV</t>
  </si>
  <si>
    <t>MANUFACTURER</t>
  </si>
  <si>
    <t>SNAPEDA_PN</t>
  </si>
  <si>
    <t>MAXIMUM_PACKAGE_HEIGHT</t>
  </si>
  <si>
    <t>STANDARD</t>
  </si>
  <si>
    <t>1</t>
  </si>
  <si>
    <t/>
  </si>
  <si>
    <t>C0402-GRM152R61A104KE19D</t>
  </si>
  <si>
    <t>CC_1 CC_2 CC_3 CC_4 CC_5 CC_6 CC_7 CC_8 CC_9 CC_10 CC_11 CC_12 CC_13 CC_14 CC_15 CC_16</t>
  </si>
  <si>
    <t>C0402-CAPC1005X22N</t>
  </si>
  <si>
    <t>16</t>
  </si>
  <si>
    <t xml:space="preserve"> </t>
  </si>
  <si>
    <t>2</t>
  </si>
  <si>
    <t>Amphenol-ICC_Minitek-08_10P</t>
  </si>
  <si>
    <t>J2</t>
  </si>
  <si>
    <t>B</t>
  </si>
  <si>
    <t>10144041-10011LF</t>
  </si>
  <si>
    <t>1.75 mm</t>
  </si>
  <si>
    <t>Manufacturer Recommendations</t>
  </si>
  <si>
    <t>3</t>
  </si>
  <si>
    <t>TLI493D-x4D7_R1103_V3</t>
  </si>
  <si>
    <t>X1 X2 X3 X4 X5 X6 X7 X8 X9 X10 X11 X12 X13 X14 X15 X16</t>
  </si>
  <si>
    <t>TLI493D-x4D7_R7_R1103_V3</t>
  </si>
  <si>
    <t>KiBot Bill of Materials</t>
  </si>
  <si>
    <t>Schematic:</t>
  </si>
  <si>
    <t>4x4</t>
  </si>
  <si>
    <t>Variant:</t>
  </si>
  <si>
    <t>default</t>
  </si>
  <si>
    <t>Revision:</t>
  </si>
  <si>
    <t>Date:</t>
  </si>
  <si>
    <t>2026-06-30_15-26-09</t>
  </si>
  <si>
    <t>KiCad Version:</t>
  </si>
  <si>
    <t>10.0.4-10.0.4~ubuntu24.04.1</t>
  </si>
  <si>
    <t>Component Groups:</t>
  </si>
  <si>
    <t>Component Count:</t>
  </si>
  <si>
    <t>33 (33 SMD/ 0 THT)</t>
  </si>
  <si>
    <t>Fitted Components:</t>
  </si>
  <si>
    <t>Number of PCBs:</t>
  </si>
  <si>
    <t>Total Components:</t>
  </si>
  <si>
    <t>Global Part Info</t>
  </si>
  <si>
    <t>Manf</t>
  </si>
  <si>
    <t>Manf#</t>
  </si>
  <si>
    <t>Build Quantity</t>
  </si>
  <si>
    <t>Unit$</t>
  </si>
  <si>
    <t>Ext$</t>
  </si>
  <si>
    <t>CAPACITOR, European symbol</t>
  </si>
  <si>
    <t>Amphenol</t>
  </si>
  <si>
    <t>Board Qty:</t>
  </si>
  <si>
    <t>Total Cost:</t>
  </si>
  <si>
    <t>Unit Cost:</t>
  </si>
  <si>
    <t>Created:</t>
  </si>
  <si>
    <t>2026-06-30 15:28:42</t>
  </si>
  <si>
    <t>KiCost® v1.1.20 + KiBot v1.9.0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</si>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</sst>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1">
    <numFmt numFmtId="164" formatCode="$#,##0.00"/>
  </numFmts>
  <fonts count="1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009879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10" borderId="0" xfId="0" applyFill="1" applyAlignment="1">
      <alignment horizontal="centerContinuous" vertical="center" wrapText="1"/>
    </xf>
    <xf numFmtId="0" fontId="0" fillId="11" borderId="0" xfId="0" applyFill="1"/>
    <xf numFmtId="0" fontId="0" fillId="12" borderId="0" xfId="0" applyFill="1"/>
    <xf numFmtId="0" fontId="10" fillId="13" borderId="0" xfId="0" applyFont="1" applyFill="1"/>
    <xf numFmtId="0" fontId="10" fillId="14" borderId="0" xfId="0" applyFont="1" applyFill="1"/>
    <xf numFmtId="0" fontId="0" fillId="15" borderId="0" xfId="0" applyFill="1"/>
    <xf numFmtId="0" fontId="11" fillId="16" borderId="0" xfId="0" applyFont="1" applyFill="1"/>
    <xf numFmtId="0" fontId="0" fillId="17" borderId="0" xfId="0" applyFill="1"/>
    <xf numFmtId="0" fontId="0" fillId="18" borderId="0" xfId="0" applyFill="1" applyAlignment="1">
      <alignment vertical="center" wrapText="1"/>
    </xf>
    <xf numFmtId="0" fontId="12" fillId="0" borderId="0" xfId="0" applyFont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rgb="FFAAAAA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16584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2378784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32.7109375" customWidth="1"/>
    <col min="4" max="4" width="60.7109375" customWidth="1"/>
    <col min="5" max="6" width="32.7109375" customWidth="1"/>
    <col min="7" max="7" width="26.7109375" customWidth="1"/>
    <col min="8" max="8" width="16.7109375" customWidth="1"/>
    <col min="9" max="9" width="19.7109375" customWidth="1"/>
    <col min="10" max="10" width="17.7109375" customWidth="1"/>
    <col min="11" max="11" width="22.7109375" customWidth="1"/>
    <col min="12" max="12" width="21.7109375" customWidth="1"/>
    <col min="13" max="13" width="32.7109375" customWidth="1"/>
    <col min="14" max="14" width="33.7109375" customWidth="1"/>
  </cols>
  <sheetData>
    <row r="1" spans="1:14" ht="32" customHeight="1">
      <c r="C1" s="1" t="s">
        <v>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C2" s="2" t="s">
        <v>33</v>
      </c>
      <c r="D2" s="3" t="s">
        <v>34</v>
      </c>
      <c r="E2" s="2" t="s">
        <v>42</v>
      </c>
      <c r="F2" s="3">
        <v>3</v>
      </c>
    </row>
    <row r="3" spans="1:14">
      <c r="C3" s="2" t="s">
        <v>35</v>
      </c>
      <c r="D3" s="3" t="s">
        <v>36</v>
      </c>
      <c r="E3" s="2" t="s">
        <v>43</v>
      </c>
      <c r="F3" s="3" t="s">
        <v>44</v>
      </c>
    </row>
    <row r="4" spans="1:14">
      <c r="C4" s="2" t="s">
        <v>37</v>
      </c>
      <c r="D4" s="3" t="s">
        <v>15</v>
      </c>
      <c r="E4" s="2" t="s">
        <v>45</v>
      </c>
      <c r="F4" s="3" t="s">
        <v>44</v>
      </c>
    </row>
    <row r="5" spans="1:14">
      <c r="C5" s="2" t="s">
        <v>38</v>
      </c>
      <c r="D5" s="3" t="s">
        <v>39</v>
      </c>
      <c r="E5" s="2" t="s">
        <v>46</v>
      </c>
      <c r="F5" s="3">
        <v>1</v>
      </c>
    </row>
    <row r="6" spans="1:14">
      <c r="C6" s="2" t="s">
        <v>40</v>
      </c>
      <c r="D6" s="3" t="s">
        <v>41</v>
      </c>
      <c r="E6" s="2" t="s">
        <v>47</v>
      </c>
      <c r="F6" s="3">
        <v>33</v>
      </c>
    </row>
    <row r="8" spans="1:14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</row>
    <row r="9" spans="1:14" ht="30" customHeight="1">
      <c r="A9" s="5" t="s">
        <v>14</v>
      </c>
      <c r="B9" s="6" t="s">
        <v>15</v>
      </c>
      <c r="C9" s="7" t="s">
        <v>16</v>
      </c>
      <c r="D9" s="7" t="s">
        <v>17</v>
      </c>
      <c r="E9" s="6" t="s">
        <v>15</v>
      </c>
      <c r="F9" s="7" t="s">
        <v>18</v>
      </c>
      <c r="G9" s="5" t="s">
        <v>19</v>
      </c>
      <c r="H9" s="5" t="s">
        <v>20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6" t="s">
        <v>15</v>
      </c>
    </row>
    <row r="10" spans="1:14">
      <c r="A10" s="8" t="s">
        <v>21</v>
      </c>
      <c r="B10" s="9" t="s">
        <v>15</v>
      </c>
      <c r="C10" s="10" t="s">
        <v>22</v>
      </c>
      <c r="D10" s="10" t="s">
        <v>23</v>
      </c>
      <c r="E10" s="10" t="s">
        <v>22</v>
      </c>
      <c r="F10" s="10" t="s">
        <v>22</v>
      </c>
      <c r="G10" s="8" t="s">
        <v>14</v>
      </c>
      <c r="H10" s="8" t="s">
        <v>20</v>
      </c>
      <c r="I10" s="9" t="s">
        <v>15</v>
      </c>
      <c r="J10" s="11" t="s">
        <v>24</v>
      </c>
      <c r="K10" s="9" t="s">
        <v>15</v>
      </c>
      <c r="L10" s="11" t="s">
        <v>25</v>
      </c>
      <c r="M10" s="11" t="s">
        <v>26</v>
      </c>
      <c r="N10" s="11" t="s">
        <v>27</v>
      </c>
    </row>
    <row r="11" spans="1:14">
      <c r="A11" s="5" t="s">
        <v>28</v>
      </c>
      <c r="B11" s="6" t="s">
        <v>15</v>
      </c>
      <c r="C11" s="7" t="s">
        <v>29</v>
      </c>
      <c r="D11" s="7" t="s">
        <v>30</v>
      </c>
      <c r="E11" s="6" t="s">
        <v>15</v>
      </c>
      <c r="F11" s="7" t="s">
        <v>31</v>
      </c>
      <c r="G11" s="5" t="s">
        <v>19</v>
      </c>
      <c r="H11" s="5" t="s">
        <v>20</v>
      </c>
      <c r="I11" s="6" t="s">
        <v>15</v>
      </c>
      <c r="J11" s="6" t="s">
        <v>15</v>
      </c>
      <c r="K11" s="6" t="s">
        <v>15</v>
      </c>
      <c r="L11" s="6" t="s">
        <v>15</v>
      </c>
      <c r="M11" s="6" t="s">
        <v>15</v>
      </c>
      <c r="N11" s="6" t="s">
        <v>15</v>
      </c>
    </row>
  </sheetData>
  <mergeCells count="1">
    <mergeCell ref="C1:N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pane xSplit="9" ySplit="9" topLeftCell="J10" activePane="bottomRight" state="frozen"/>
      <selection pane="topRight" activeCell="J1" sqref="J1"/>
      <selection pane="bottomLeft" activeCell="A10" sqref="A10"/>
      <selection pane="bottomRight"/>
    </sheetView>
  </sheetViews>
  <sheetFormatPr defaultRowHeight="15" outlineLevelCol="2"/>
  <cols>
    <col min="1" max="1" width="57.7109375" customWidth="1"/>
    <col min="2" max="2" width="28.7109375" customWidth="1"/>
    <col min="3" max="3" width="27.7109375" customWidth="1" outlineLevel="2"/>
    <col min="4" max="4" width="28.7109375" customWidth="1" outlineLevel="2"/>
    <col min="5" max="5" width="28.7109375" customWidth="1" outlineLevel="1"/>
    <col min="6" max="6" width="9.140625" outlineLevel="1"/>
    <col min="7" max="7" width="17.7109375" customWidth="1" outlineLevel="1"/>
    <col min="8" max="8" width="15.7109375" customWidth="1"/>
    <col min="9" max="9" width="16.7109375" customWidth="1"/>
  </cols>
  <sheetData>
    <row r="1" spans="1:9" ht="32" customHeight="1">
      <c r="D1" s="1" t="s">
        <v>32</v>
      </c>
      <c r="E1" s="1"/>
      <c r="F1" s="1"/>
      <c r="G1" s="1"/>
      <c r="H1" s="1"/>
      <c r="I1" s="1"/>
    </row>
    <row r="2" spans="1:9">
      <c r="D2" s="2" t="s">
        <v>33</v>
      </c>
      <c r="E2" s="3" t="s">
        <v>34</v>
      </c>
      <c r="H2" s="12" t="s">
        <v>56</v>
      </c>
      <c r="I2" s="12">
        <v>1</v>
      </c>
    </row>
    <row r="3" spans="1:9">
      <c r="D3" s="2" t="s">
        <v>35</v>
      </c>
      <c r="E3" s="3" t="s">
        <v>36</v>
      </c>
      <c r="H3" s="13" t="s">
        <v>58</v>
      </c>
      <c r="I3" s="14">
        <f>TotalCost/BoardQty</f>
        <v>0.0</v>
      </c>
    </row>
    <row r="4" spans="1:9">
      <c r="D4" s="2" t="s">
        <v>37</v>
      </c>
      <c r="E4" s="3" t="s">
        <v>15</v>
      </c>
      <c r="H4" s="13" t="s">
        <v>57</v>
      </c>
      <c r="I4" s="15">
        <f>SUM(I10:I12)</f>
        <v>0</v>
      </c>
    </row>
    <row r="5" spans="1:9">
      <c r="D5" s="2" t="s">
        <v>38</v>
      </c>
      <c r="E5" s="3" t="s">
        <v>39</v>
      </c>
    </row>
    <row r="6" spans="1:9">
      <c r="D6" s="2" t="s">
        <v>40</v>
      </c>
      <c r="E6" s="3" t="s">
        <v>41</v>
      </c>
    </row>
    <row r="8" spans="1:9">
      <c r="A8" s="16" t="s">
        <v>48</v>
      </c>
      <c r="B8" s="16"/>
      <c r="C8" s="16"/>
      <c r="D8" s="16"/>
      <c r="E8" s="16"/>
      <c r="F8" s="16"/>
      <c r="G8" s="16"/>
      <c r="H8" s="16"/>
      <c r="I8" s="16"/>
    </row>
    <row r="9" spans="1:9">
      <c r="A9" s="17" t="s">
        <v>3</v>
      </c>
      <c r="B9" s="17" t="s">
        <v>4</v>
      </c>
      <c r="C9" s="17" t="s">
        <v>1</v>
      </c>
      <c r="D9" s="17" t="s">
        <v>5</v>
      </c>
      <c r="E9" s="17" t="s">
        <v>49</v>
      </c>
      <c r="F9" s="17" t="s">
        <v>50</v>
      </c>
      <c r="G9" s="17" t="s">
        <v>51</v>
      </c>
      <c r="H9" s="17" t="s">
        <v>52</v>
      </c>
      <c r="I9" s="17" t="s">
        <v>53</v>
      </c>
    </row>
    <row r="10" spans="1:9" ht="30" customHeight="1">
      <c r="A10" s="18" t="s">
        <v>17</v>
      </c>
      <c r="B10" s="18" t="s">
        <v>15</v>
      </c>
      <c r="C10" s="18" t="s">
        <v>54</v>
      </c>
      <c r="D10" s="18" t="s">
        <v>18</v>
      </c>
      <c r="G10" s="18">
        <f>CEILING(BoardQty*16,1)</f>
        <v>16</v>
      </c>
      <c r="I10" s="19">
        <f>IF(AND(ISNUMBER(G10),ISNUMBER(H10)),G10*H10,"")</f>
        <v/>
      </c>
    </row>
    <row r="11" spans="1:9">
      <c r="A11" s="18" t="s">
        <v>23</v>
      </c>
      <c r="B11" s="18" t="s">
        <v>22</v>
      </c>
      <c r="D11" s="18" t="s">
        <v>22</v>
      </c>
      <c r="E11" s="18" t="s">
        <v>55</v>
      </c>
      <c r="G11" s="18">
        <f>BoardQty*1</f>
        <v>1</v>
      </c>
      <c r="I11" s="19">
        <f>IF(AND(ISNUMBER(G11),ISNUMBER(H11)),G11*H11,"")</f>
        <v/>
      </c>
    </row>
    <row r="12" spans="1:9">
      <c r="A12" s="18" t="s">
        <v>30</v>
      </c>
      <c r="B12" s="18" t="s">
        <v>15</v>
      </c>
      <c r="D12" s="18" t="s">
        <v>31</v>
      </c>
      <c r="G12" s="18">
        <f>CEILING(BoardQty*16,1)</f>
        <v>16</v>
      </c>
      <c r="I12" s="19">
        <f>IF(AND(ISNUMBER(G12),ISNUMBER(H12)),G12*H12,"")</f>
        <v/>
      </c>
    </row>
    <row r="15" spans="1:9">
      <c r="A15" s="20" t="s">
        <v>59</v>
      </c>
      <c r="B15" s="21" t="s">
        <v>60</v>
      </c>
    </row>
    <row r="16" spans="1:9">
      <c r="A16" s="22" t="s">
        <v>61</v>
      </c>
    </row>
  </sheetData>
  <mergeCells count="2">
    <mergeCell ref="A8:I8"/>
    <mergeCell ref="D1:I1"/>
  </mergeCells>
  <conditionalFormatting sqref="G10">
    <cfRule type="expression" dxfId="0" priority="1">
      <formula>AND(ISBLANK(F10),TRUE())</formula>
    </cfRule>
  </conditionalFormatting>
  <conditionalFormatting sqref="G11">
    <cfRule type="expression" dxfId="0" priority="2">
      <formula>AND(ISBLANK(F11),TRUE())</formula>
    </cfRule>
  </conditionalFormatting>
  <conditionalFormatting sqref="G12">
    <cfRule type="expression" dxfId="0" priority="3">
      <formula>AND(ISBLANK(F12),TRUE())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62</v>
      </c>
    </row>
    <row r="2" spans="1:1">
      <c r="A2" s="7" t="s">
        <v>63</v>
      </c>
    </row>
    <row r="3" spans="1:1">
      <c r="A3" s="5" t="s">
        <v>64</v>
      </c>
    </row>
    <row r="4" spans="1:1">
      <c r="A4" s="23" t="s">
        <v>65</v>
      </c>
    </row>
    <row r="5" spans="1:1">
      <c r="A5" s="6" t="s">
        <v>66</v>
      </c>
    </row>
    <row r="7" spans="1:1">
      <c r="A7" t="s">
        <v>67</v>
      </c>
    </row>
    <row r="8" spans="1:1">
      <c r="A8" s="24" t="s">
        <v>68</v>
      </c>
    </row>
    <row r="9" spans="1:1">
      <c r="A9" s="25" t="s">
        <v>69</v>
      </c>
    </row>
    <row r="10" spans="1:1">
      <c r="A10" s="26" t="s">
        <v>70</v>
      </c>
    </row>
    <row r="11" spans="1:1">
      <c r="A11" s="27" t="s">
        <v>71</v>
      </c>
    </row>
    <row r="12" spans="1:1">
      <c r="A12" s="28" t="s">
        <v>72</v>
      </c>
    </row>
    <row r="13" spans="1:1">
      <c r="A13" s="29" t="s">
        <v>73</v>
      </c>
    </row>
    <row r="14" spans="1:1">
      <c r="A14" s="30" t="s">
        <v>74</v>
      </c>
    </row>
    <row r="15" spans="1:1">
      <c r="A15" s="31" t="s">
        <v>75</v>
      </c>
    </row>
    <row r="16" spans="1:1">
      <c r="A16" s="3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BoM</vt:lpstr>
      <vt:lpstr>Costs</vt:lpstr>
      <vt:lpstr>Colors</vt:lpstr>
      <vt:lpstr>'Costs'!BoardQty</vt:lpstr>
      <vt:lpstr>BoM!Print_Titles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2026-06-30T06:28:42Z</dcterms:created>
  <dcterms:modified xsi:type="dcterms:W3CDTF">2026-06-30T06:28:42Z</dcterms:modified>
</cp:coreProperties>
</file>